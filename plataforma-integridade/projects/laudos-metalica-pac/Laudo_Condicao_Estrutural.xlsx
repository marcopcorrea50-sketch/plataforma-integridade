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udo" sheetId="1" state="visible" r:id="rId1"/>
    <sheet xmlns:r="http://schemas.openxmlformats.org/officeDocument/2006/relationships" name="Aux" sheetId="2" state="hidden" r:id="rId2"/>
    <sheet xmlns:r="http://schemas.openxmlformats.org/officeDocument/2006/relationships" name="Consulta PRO-024969" sheetId="3" state="visible" r:id="rId3"/>
  </sheets>
  <definedNames>
    <definedName name="_xlnm.Print_Area" localSheetId="0">'Laudo'!$A$1:$H$93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003D2E"/>
      <sz val="10"/>
    </font>
    <font>
      <name val="Arial"/>
      <charset val="1"/>
      <family val="0"/>
      <b val="1"/>
      <color rgb="FF666666"/>
      <sz val="8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3D2E"/>
      <sz val="7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3D2E"/>
      <sz val="2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DC3545"/>
      <sz val="14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8B0000"/>
      <sz val="12"/>
    </font>
    <font>
      <name val="Arial"/>
      <charset val="1"/>
      <family val="0"/>
      <b val="1"/>
      <color rgb="FFDC3545"/>
      <sz val="11"/>
    </font>
    <font>
      <name val="Arial"/>
      <charset val="1"/>
      <family val="0"/>
      <i val="1"/>
      <color rgb="FF888888"/>
      <sz val="7"/>
    </font>
    <font>
      <name val="Arial"/>
      <charset val="1"/>
      <family val="0"/>
      <b val="1"/>
      <color rgb="FF003D2E"/>
      <sz val="8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i val="1"/>
      <color rgb="FFFF6600"/>
      <sz val="8"/>
    </font>
    <font>
      <name val="Arial"/>
      <charset val="1"/>
      <family val="0"/>
      <i val="1"/>
      <color rgb="FFAAAAAA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FFFFFF"/>
      <sz val="7"/>
    </font>
    <font>
      <name val="Arial"/>
      <charset val="1"/>
      <family val="0"/>
      <b val="1"/>
      <color rgb="FF0F3460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F346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FFA500"/>
      <sz val="7"/>
    </font>
    <font>
      <name val="Arial"/>
      <charset val="1"/>
      <family val="0"/>
      <b val="1"/>
      <i val="1"/>
      <color rgb="FFFFA500"/>
      <sz val="7"/>
    </font>
    <font>
      <name val="Arial"/>
      <charset val="1"/>
      <family val="0"/>
      <b val="1"/>
      <color rgb="FF00808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8080"/>
      <sz val="7"/>
    </font>
    <font>
      <name val="Arial"/>
      <charset val="1"/>
      <family val="0"/>
      <color rgb="FF000000"/>
      <sz val="7"/>
    </font>
  </fonts>
  <fills count="18">
    <fill>
      <patternFill/>
    </fill>
    <fill>
      <patternFill patternType="gray125"/>
    </fill>
    <fill>
      <patternFill patternType="solid">
        <fgColor rgb="FF003D2E"/>
        <bgColor rgb="FF0F3460"/>
      </patternFill>
    </fill>
    <fill>
      <patternFill patternType="solid">
        <fgColor rgb="FFFFF9C4"/>
        <bgColor rgb="FFFFFF99"/>
      </patternFill>
    </fill>
    <fill>
      <patternFill patternType="solid">
        <fgColor rgb="FF1A1A3E"/>
        <bgColor rgb="FF0F3460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005A45"/>
        <bgColor rgb="FF003D2E"/>
      </patternFill>
    </fill>
    <fill>
      <patternFill patternType="solid">
        <fgColor rgb="FFFFEB3B"/>
        <bgColor rgb="FFFFFF00"/>
      </patternFill>
    </fill>
    <fill>
      <patternFill patternType="solid">
        <fgColor rgb="FF8B0000"/>
        <bgColor rgb="FF800000"/>
      </patternFill>
    </fill>
    <fill>
      <patternFill patternType="solid">
        <fgColor rgb="FFFFE0E0"/>
        <bgColor rgb="FFF5F5F5"/>
      </patternFill>
    </fill>
    <fill>
      <patternFill patternType="solid">
        <fgColor rgb="FF5C6B3C"/>
        <bgColor rgb="FF666666"/>
      </patternFill>
    </fill>
    <fill>
      <patternFill patternType="solid">
        <fgColor rgb="FF0F3460"/>
        <bgColor rgb="FF003D2E"/>
      </patternFill>
    </fill>
    <fill>
      <patternFill patternType="solid">
        <fgColor rgb="FFDC3545"/>
        <bgColor rgb="FF993366"/>
      </patternFill>
    </fill>
    <fill>
      <patternFill patternType="solid">
        <fgColor rgb="FFFFA500"/>
        <bgColor rgb="FFFFC107"/>
      </patternFill>
    </fill>
    <fill>
      <patternFill patternType="solid">
        <fgColor rgb="FF4CAF50"/>
        <bgColor rgb="FF888888"/>
      </patternFill>
    </fill>
    <fill>
      <patternFill patternType="solid">
        <fgColor rgb="FF333333"/>
        <bgColor rgb="FF1A1A3E"/>
      </patternFill>
    </fill>
    <fill>
      <patternFill patternType="solid">
        <fgColor rgb="FF008080"/>
        <bgColor rgb="FF0066CC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3D2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FFC107"/>
      </bottom>
      <diagonal/>
    </border>
    <border>
      <left style="thin">
        <color rgb="FF003D2E"/>
      </left>
      <right style="thin">
        <color rgb="FF003D2E"/>
      </right>
      <top style="thin">
        <color rgb="FF003D2E"/>
      </top>
      <bottom style="thin">
        <color rgb="FF003D2E"/>
      </bottom>
      <diagonal/>
    </border>
    <border>
      <left style="thin">
        <color rgb="FF003D2E"/>
      </left>
      <right/>
      <top style="thin">
        <color rgb="FF003D2E"/>
      </top>
      <bottom style="thin">
        <color rgb="FF003D2E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3D2E"/>
      </top>
      <bottom/>
      <diagonal/>
    </border>
    <border>
      <left/>
      <right/>
      <top style="thin">
        <color rgb="FF003D2E"/>
      </top>
      <bottom style="thin">
        <color rgb="FF003D2E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horizontal="left" vertical="center" wrapText="1"/>
    </xf>
    <xf numFmtId="164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2" fillId="5" borderId="4" applyAlignment="1" pivotButton="0" quotePrefix="0" xfId="0">
      <alignment horizontal="center" vertical="center" wrapText="1"/>
    </xf>
    <xf numFmtId="1" fontId="13" fillId="3" borderId="4" applyAlignment="1" pivotButton="0" quotePrefix="0" xfId="0">
      <alignment horizontal="center" vertical="center" wrapText="1"/>
    </xf>
    <xf numFmtId="165" fontId="13" fillId="3" borderId="4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2" fontId="15" fillId="6" borderId="5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164" fontId="18" fillId="6" borderId="2" applyAlignment="1" pivotButton="0" quotePrefix="0" xfId="0">
      <alignment horizontal="center" vertical="center" wrapText="1"/>
    </xf>
    <xf numFmtId="164" fontId="19" fillId="10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general" vertical="bottom"/>
    </xf>
    <xf numFmtId="0" fontId="14" fillId="11" borderId="7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0" fontId="23" fillId="3" borderId="7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general" vertical="bottom"/>
    </xf>
    <xf numFmtId="0" fontId="27" fillId="6" borderId="2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0" fontId="14" fillId="2" borderId="7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0" borderId="7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left" vertical="center" wrapText="1"/>
    </xf>
    <xf numFmtId="0" fontId="14" fillId="12" borderId="7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/>
    </xf>
    <xf numFmtId="0" fontId="32" fillId="8" borderId="7" applyAlignment="1" pivotButton="0" quotePrefix="0" xfId="0">
      <alignment horizontal="center" vertical="center" wrapText="1"/>
    </xf>
    <xf numFmtId="0" fontId="32" fillId="14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left" vertical="center"/>
    </xf>
    <xf numFmtId="0" fontId="29" fillId="16" borderId="0" applyAlignment="1" pivotButton="0" quotePrefix="0" xfId="0">
      <alignment horizontal="center" vertical="center" wrapText="1"/>
    </xf>
    <xf numFmtId="0" fontId="29" fillId="17" borderId="7" applyAlignment="1" pivotButton="0" quotePrefix="0" xfId="0">
      <alignment horizontal="center" vertical="center" wrapText="1"/>
    </xf>
    <xf numFmtId="0" fontId="39" fillId="6" borderId="7" applyAlignment="1" pivotButton="0" quotePrefix="0" xfId="0">
      <alignment horizontal="left" vertical="center"/>
    </xf>
    <xf numFmtId="0" fontId="40" fillId="6" borderId="7" applyAlignment="1" pivotButton="0" quotePrefix="0" xfId="0">
      <alignment horizontal="center" vertical="center" wrapText="1"/>
    </xf>
    <xf numFmtId="0" fontId="39" fillId="0" borderId="7" applyAlignment="1" pivotButton="0" quotePrefix="0" xfId="0">
      <alignment horizontal="left" vertical="center"/>
    </xf>
    <xf numFmtId="0" fontId="40" fillId="0" borderId="7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8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horizontal="left" vertical="center" wrapText="1"/>
    </xf>
    <xf numFmtId="0" fontId="0" fillId="0" borderId="9" pivotButton="0" quotePrefix="0" xfId="0"/>
    <xf numFmtId="164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1" fillId="4" borderId="0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1" fontId="13" fillId="3" borderId="4" applyAlignment="1" pivotButton="0" quotePrefix="0" xfId="0">
      <alignment horizontal="center" vertical="center" wrapText="1"/>
    </xf>
    <xf numFmtId="165" fontId="13" fillId="3" borderId="4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2" fontId="15" fillId="6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8" borderId="0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164" fontId="18" fillId="6" borderId="2" applyAlignment="1" pivotButton="0" quotePrefix="0" xfId="0">
      <alignment horizontal="center" vertical="center" wrapText="1"/>
    </xf>
    <xf numFmtId="164" fontId="19" fillId="10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2" pivotButton="0" quotePrefix="0" xfId="0"/>
    <xf numFmtId="0" fontId="22" fillId="0" borderId="0" applyAlignment="1" pivotButton="0" quotePrefix="0" xfId="0">
      <alignment horizontal="general" vertical="bottom"/>
    </xf>
    <xf numFmtId="0" fontId="14" fillId="11" borderId="7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0" fontId="23" fillId="3" borderId="7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general" vertical="bottom"/>
    </xf>
    <xf numFmtId="0" fontId="27" fillId="6" borderId="2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0" fontId="14" fillId="2" borderId="7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0" borderId="7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left" vertical="center" wrapText="1"/>
    </xf>
    <xf numFmtId="0" fontId="14" fillId="12" borderId="7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/>
    </xf>
    <xf numFmtId="0" fontId="32" fillId="8" borderId="7" applyAlignment="1" pivotButton="0" quotePrefix="0" xfId="0">
      <alignment horizontal="center" vertical="center" wrapText="1"/>
    </xf>
    <xf numFmtId="0" fontId="32" fillId="14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left" vertical="center"/>
    </xf>
    <xf numFmtId="0" fontId="29" fillId="16" borderId="0" applyAlignment="1" pivotButton="0" quotePrefix="0" xfId="0">
      <alignment horizontal="center" vertical="center" wrapText="1"/>
    </xf>
    <xf numFmtId="0" fontId="29" fillId="17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39" fillId="6" borderId="7" applyAlignment="1" pivotButton="0" quotePrefix="0" xfId="0">
      <alignment horizontal="left" vertical="center"/>
    </xf>
    <xf numFmtId="0" fontId="40" fillId="6" borderId="7" applyAlignment="1" pivotButton="0" quotePrefix="0" xfId="0">
      <alignment horizontal="center" vertical="center" wrapText="1"/>
    </xf>
    <xf numFmtId="0" fontId="39" fillId="0" borderId="7" applyAlignment="1" pivotButton="0" quotePrefix="0" xfId="0">
      <alignment horizontal="left" vertical="center"/>
    </xf>
    <xf numFmtId="0" fontId="40" fillId="0" borderId="7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FFFFFF"/>
        <sz val="16"/>
      </font>
      <fill>
        <patternFill>
          <bgColor rgb="FFDC3545"/>
        </patternFill>
      </fill>
    </dxf>
    <dxf>
      <font>
        <b val="1"/>
        <color rgb="FFFFFFFF"/>
        <sz val="16"/>
      </font>
      <fill>
        <patternFill>
          <bgColor rgb="FFFFA500"/>
        </patternFill>
      </fill>
    </dxf>
    <dxf>
      <font>
        <b val="1"/>
        <color rgb="FF333333"/>
        <sz val="16"/>
      </font>
      <fill>
        <patternFill>
          <bgColor rgb="FFFFEB3B"/>
        </patternFill>
      </fill>
    </dxf>
    <dxf>
      <font>
        <b val="1"/>
        <color rgb="FFFFFFFF"/>
        <sz val="16"/>
      </font>
      <fill>
        <patternFill>
          <bgColor rgb="FF4CAF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B0000"/>
      <rgbColor rgb="FF008000"/>
      <rgbColor rgb="FF000080"/>
      <rgbColor rgb="FF5C6B3C"/>
      <rgbColor rgb="FF800080"/>
      <rgbColor rgb="FF008080"/>
      <rgbColor rgb="FFCCCCCC"/>
      <rgbColor rgb="FF888888"/>
      <rgbColor rgb="FF9999FF"/>
      <rgbColor rgb="FFDC3545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5A45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107"/>
      <rgbColor rgb="FFFFA500"/>
      <rgbColor rgb="FFFF6600"/>
      <rgbColor rgb="FF666666"/>
      <rgbColor rgb="FFAAAAAA"/>
      <rgbColor rgb="FF0F3460"/>
      <rgbColor rgb="FF4CAF50"/>
      <rgbColor rgb="FF003D2E"/>
      <rgbColor rgb="FF1A1A3E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78" min="1" max="1"/>
    <col width="14" customWidth="1" style="78" min="2" max="7"/>
    <col width="4" customWidth="1" style="78" min="8" max="8"/>
  </cols>
  <sheetData>
    <row r="1" ht="27.75" customHeight="1" s="79">
      <c r="A1" s="80" t="inlineStr">
        <is>
          <t>VALE</t>
        </is>
      </c>
      <c r="D1" s="81" t="inlineStr">
        <is>
          <t>LAUDO DE CONDIÇÃO ESTRUTURAL</t>
        </is>
      </c>
    </row>
    <row r="2" ht="15.75" customHeight="1" s="79">
      <c r="D2" s="82" t="inlineStr">
        <is>
          <t>PRO-024969, Rev. 05 — Serra Sul S11D</t>
        </is>
      </c>
    </row>
    <row r="3" ht="6" customHeight="1" s="79"/>
    <row r="4" ht="21.75" customHeight="1" s="79">
      <c r="B4" s="83" t="inlineStr">
        <is>
          <t>📋 IDENTIFICAÇÃO DO ATIVO</t>
        </is>
      </c>
      <c r="C4" s="84" t="n"/>
      <c r="D4" s="84" t="n"/>
      <c r="E4" s="84" t="n"/>
      <c r="F4" s="84" t="n"/>
      <c r="G4" s="84" t="n"/>
    </row>
    <row r="5" ht="13.5" customHeight="1" s="79">
      <c r="B5" s="85" t="inlineStr">
        <is>
          <t>INSPETOR RESPONSÁVEL</t>
        </is>
      </c>
      <c r="E5" s="85" t="inlineStr">
        <is>
          <t>DATA DA INSPEÇÃO</t>
        </is>
      </c>
    </row>
    <row r="6" ht="15" customHeight="1" s="79">
      <c r="B6" s="86" t="inlineStr">
        <is>
          <t>01495822 (Marco Correa)</t>
        </is>
      </c>
      <c r="C6" s="87" t="n"/>
      <c r="D6" s="87" t="n"/>
      <c r="E6" s="88" t="n">
        <v>46102</v>
      </c>
      <c r="F6" s="87" t="n"/>
      <c r="G6" s="87" t="n"/>
    </row>
    <row r="7" ht="13.5" customHeight="1" s="79">
      <c r="B7" s="85" t="inlineStr">
        <is>
          <t>LOCAL DE INSTALAÇÃO</t>
        </is>
      </c>
    </row>
    <row r="8" ht="15" customHeight="1" s="79">
      <c r="B8" s="89" t="n"/>
      <c r="C8" s="87" t="n"/>
      <c r="D8" s="87" t="n"/>
      <c r="E8" s="87" t="n"/>
      <c r="F8" s="87" t="n"/>
      <c r="G8" s="87" t="n"/>
    </row>
    <row r="9" ht="13.5" customHeight="1" s="79">
      <c r="B9" s="85" t="inlineStr">
        <is>
          <t>Nº NOTA</t>
        </is>
      </c>
      <c r="D9" s="85" t="inlineStr">
        <is>
          <t>Nº ORDEM</t>
        </is>
      </c>
      <c r="F9" s="85" t="inlineStr">
        <is>
          <t>AVALIADOR TÉCNICO</t>
        </is>
      </c>
    </row>
    <row r="10" ht="15" customHeight="1" s="79">
      <c r="B10" s="86" t="n"/>
      <c r="C10" s="87" t="n"/>
      <c r="D10" s="86" t="n"/>
      <c r="E10" s="87" t="n"/>
      <c r="F10" s="86" t="inlineStr">
        <is>
          <t>01495822 (Marco Correa)</t>
        </is>
      </c>
      <c r="G10" s="87" t="n"/>
    </row>
    <row r="11" ht="13.5" customHeight="1" s="79">
      <c r="B11" s="85" t="inlineStr">
        <is>
          <t>ITEM ESTRUTURAL</t>
        </is>
      </c>
      <c r="F11" s="85" t="inlineStr">
        <is>
          <t>RECOMENDAÇÃO</t>
        </is>
      </c>
    </row>
    <row r="12" ht="15" customHeight="1" s="79">
      <c r="B12" s="86" t="n"/>
      <c r="C12" s="87" t="n"/>
      <c r="D12" s="87" t="n"/>
      <c r="E12" s="87" t="n"/>
      <c r="F12" s="86" t="n"/>
      <c r="G12" s="87" t="n"/>
    </row>
    <row r="13" ht="21.75" customHeight="1" s="79">
      <c r="B13" s="83" t="inlineStr">
        <is>
          <t>📊 QUANTITATIVOS</t>
        </is>
      </c>
      <c r="C13" s="84" t="n"/>
      <c r="D13" s="84" t="n"/>
      <c r="E13" s="84" t="n"/>
      <c r="F13" s="84" t="n"/>
      <c r="G13" s="84" t="n"/>
    </row>
    <row r="14" ht="12" customHeight="1" s="79">
      <c r="B14" s="85" t="inlineStr">
        <is>
          <t>REC metálico (kg)</t>
        </is>
      </c>
      <c r="D14" s="85" t="inlineStr">
        <is>
          <t>Tam. trinca (mm)</t>
        </is>
      </c>
      <c r="F14" s="85" t="inlineStr">
        <is>
          <t>Qtd. solda (mm)</t>
        </is>
      </c>
    </row>
    <row r="15" ht="19.5" customHeight="1" s="79">
      <c r="B15" s="90" t="n"/>
      <c r="C15" s="87" t="n"/>
      <c r="D15" s="90" t="n"/>
      <c r="E15" s="87" t="n"/>
      <c r="F15" s="90" t="n"/>
      <c r="G15" s="87" t="n"/>
    </row>
    <row r="16" ht="12" customHeight="1" s="79">
      <c r="B16" s="85" t="inlineStr">
        <is>
          <t>Qtd. fixações</t>
        </is>
      </c>
      <c r="D16" s="85" t="inlineStr">
        <is>
          <t>Vol. concreto (m³)</t>
        </is>
      </c>
      <c r="F16" s="85" t="inlineStr">
        <is>
          <t>Área PAC (m²)</t>
        </is>
      </c>
    </row>
    <row r="17" ht="19.5" customHeight="1" s="79">
      <c r="B17" s="90" t="n"/>
      <c r="C17" s="87" t="n"/>
      <c r="D17" s="90" t="n"/>
      <c r="E17" s="87" t="n"/>
      <c r="F17" s="90" t="n"/>
      <c r="G17" s="87" t="n"/>
    </row>
    <row r="18" ht="6" customHeight="1" s="79"/>
    <row r="19" ht="21.75" customHeight="1" s="79">
      <c r="B19" s="91" t="inlineStr">
        <is>
          <t>⚠️ CLASSIFICAÇÃO DE RISCO (PRO-024969)</t>
        </is>
      </c>
      <c r="C19" s="92" t="n"/>
      <c r="D19" s="92" t="n"/>
      <c r="E19" s="92" t="n"/>
      <c r="F19" s="92" t="n"/>
      <c r="G19" s="92" t="n"/>
    </row>
    <row r="20" ht="21.75" customHeight="1" s="79">
      <c r="B20" s="93" t="inlineStr">
        <is>
          <t>Pontuação = CD × AF × FE × SC</t>
        </is>
      </c>
    </row>
    <row r="21" ht="27.75" customHeight="1" s="79">
      <c r="B21" s="85" t="inlineStr">
        <is>
          <t>Fatores</t>
        </is>
      </c>
      <c r="C21" s="94" t="inlineStr">
        <is>
          <t>CD
Classe Degradação</t>
        </is>
      </c>
      <c r="D21" s="94" t="inlineStr">
        <is>
          <t>AF
Assoc. Fatores</t>
        </is>
      </c>
      <c r="E21" s="94" t="inlineStr">
        <is>
          <t>FE
Função Estrutural</t>
        </is>
      </c>
      <c r="F21" s="94" t="inlineStr">
        <is>
          <t>SC
Sever. Colapso</t>
        </is>
      </c>
    </row>
    <row r="22" ht="30" customHeight="1" s="79">
      <c r="B22" s="85" t="inlineStr">
        <is>
          <t>Valor</t>
        </is>
      </c>
      <c r="C22" s="95" t="n">
        <v>3</v>
      </c>
      <c r="D22" s="96" t="n">
        <v>1.5</v>
      </c>
      <c r="E22" s="96" t="n">
        <v>3</v>
      </c>
      <c r="F22" s="96" t="n">
        <v>3</v>
      </c>
    </row>
    <row r="23" ht="6" customHeight="1" s="79"/>
    <row r="24" ht="15.75" customHeight="1" s="79">
      <c r="B24" s="97" t="inlineStr">
        <is>
          <t>PONTUAÇÃO</t>
        </is>
      </c>
      <c r="D24" s="98" t="inlineStr">
        <is>
          <t>NÍVEL DE RISCO</t>
        </is>
      </c>
      <c r="F24" s="97" t="inlineStr">
        <is>
          <t>PRAZO</t>
        </is>
      </c>
    </row>
    <row r="25" ht="36" customHeight="1" s="79">
      <c r="B25" s="99">
        <f>VALUE(C22)*VALUE(D22)*VALUE(E22)*VALUE(F22)</f>
        <v/>
      </c>
      <c r="C25" s="100" t="n"/>
      <c r="D25" s="101">
        <f>IF(B25&gt;=75,"MUITO ALTO",IF(B25&gt;=40,"ALTO",IF(B25&gt;=15,"MÉDIO","BAIXO")))</f>
        <v/>
      </c>
      <c r="F25" s="102">
        <f>IF(B25&gt;=75,"Imediato",IF(B25&gt;=40,"12 meses",IF(B25&gt;=15,"36 meses","48 meses")))</f>
        <v/>
      </c>
      <c r="G25" s="87" t="n"/>
    </row>
    <row r="26" ht="3.75" customHeight="1" s="79"/>
    <row r="27" ht="15.75" customHeight="1" s="79">
      <c r="B27" s="97" t="inlineStr">
        <is>
          <t>DATA DA INSPEÇÃO</t>
        </is>
      </c>
      <c r="D27" s="103" t="inlineStr">
        <is>
          <t>CONCLUSÃO DESEJADA</t>
        </is>
      </c>
      <c r="F27" s="97" t="inlineStr">
        <is>
          <t>PRAZO RESTANTE</t>
        </is>
      </c>
    </row>
    <row r="28" ht="27.75" customHeight="1" s="79">
      <c r="B28" s="104">
        <f>IF(E6="","(preencher data)",E6)</f>
        <v/>
      </c>
      <c r="C28" s="87" t="n"/>
      <c r="D28" s="105">
        <f>IF(E6="","",IF(B25&gt;=75,E6,EDATE(E6,IF(B25&gt;=40,12,IF(B25&gt;=15,36,48)))))</f>
        <v/>
      </c>
      <c r="E28" s="87" t="n"/>
      <c r="F28" s="106">
        <f>IF(OR(E6="",D28=""),"",D28-TODAY()&amp;" dias")</f>
        <v/>
      </c>
      <c r="G28" s="87" t="n"/>
    </row>
    <row r="29" ht="13.5" customHeight="1" s="79">
      <c r="B29" s="107" t="inlineStr">
        <is>
          <t>💡 A data de conclusão é calculada automaticamente. Para alterar, digite a data desejada sobre o valor.</t>
        </is>
      </c>
    </row>
    <row r="30" ht="6" customHeight="1" s="79"/>
    <row r="31" ht="21.75" customHeight="1" s="79">
      <c r="B31" s="83" t="inlineStr">
        <is>
          <t>🔍 DIAGNÓSTICO</t>
        </is>
      </c>
      <c r="C31" s="84" t="n"/>
      <c r="D31" s="84" t="n"/>
      <c r="E31" s="84" t="n"/>
      <c r="F31" s="84" t="n"/>
      <c r="G31" s="84" t="n"/>
    </row>
    <row r="32" ht="21.75" customHeight="1" s="79">
      <c r="B32" s="108" t="n"/>
      <c r="C32" s="109" t="n"/>
      <c r="D32" s="109" t="n"/>
      <c r="E32" s="109" t="n"/>
      <c r="F32" s="109" t="n"/>
      <c r="G32" s="109" t="n"/>
    </row>
    <row r="33" ht="21.75" customHeight="1" s="79">
      <c r="B33" s="110" t="n"/>
    </row>
    <row r="34" ht="21.75" customHeight="1" s="79">
      <c r="B34" s="110" t="n"/>
    </row>
    <row r="35" ht="21.75" customHeight="1" s="79">
      <c r="B35" s="110" t="n"/>
    </row>
    <row r="36" ht="6" customHeight="1" s="79"/>
    <row r="37" ht="21.75" customHeight="1" s="79">
      <c r="B37" s="83" t="inlineStr">
        <is>
          <t>✅ RECOMENDAÇÕES</t>
        </is>
      </c>
      <c r="C37" s="84" t="n"/>
      <c r="D37" s="84" t="n"/>
      <c r="E37" s="84" t="n"/>
      <c r="F37" s="84" t="n"/>
      <c r="G37" s="84" t="n"/>
    </row>
    <row r="38" ht="13.5" customHeight="1" s="79">
      <c r="B38" s="111" t="inlineStr">
        <is>
          <t>Recomendação 1:</t>
        </is>
      </c>
    </row>
    <row r="39" ht="19.5" customHeight="1" s="79">
      <c r="B39" s="108" t="n"/>
      <c r="C39" s="109" t="n"/>
      <c r="D39" s="109" t="n"/>
      <c r="E39" s="109" t="n"/>
      <c r="F39" s="109" t="n"/>
      <c r="G39" s="109" t="n"/>
    </row>
    <row r="40" ht="19.5" customHeight="1" s="79">
      <c r="B40" s="110" t="n"/>
    </row>
    <row r="41" ht="19.5" customHeight="1" s="79">
      <c r="B41" s="110" t="n"/>
    </row>
    <row r="42" ht="13.5" customHeight="1" s="79">
      <c r="B42" s="111" t="inlineStr">
        <is>
          <t>Recomendação 2:</t>
        </is>
      </c>
    </row>
    <row r="43" ht="19.5" customHeight="1" s="79">
      <c r="B43" s="108" t="n"/>
      <c r="C43" s="109" t="n"/>
      <c r="D43" s="109" t="n"/>
      <c r="E43" s="109" t="n"/>
      <c r="F43" s="109" t="n"/>
      <c r="G43" s="109" t="n"/>
    </row>
    <row r="44" ht="19.5" customHeight="1" s="79">
      <c r="B44" s="110" t="n"/>
    </row>
    <row r="45" ht="19.5" customHeight="1" s="79">
      <c r="B45" s="110" t="n"/>
    </row>
    <row r="46" ht="13.5" customHeight="1" s="79"/>
    <row r="47" ht="19.5" customHeight="1" s="79">
      <c r="B47" s="83" t="inlineStr">
        <is>
          <t>📋 LISTA DE MATERIAL (BILL OF MATERIAL)</t>
        </is>
      </c>
      <c r="C47" s="84" t="n"/>
      <c r="D47" s="84" t="n"/>
      <c r="E47" s="84" t="n"/>
      <c r="F47" s="84" t="n"/>
      <c r="G47" s="84" t="n"/>
    </row>
    <row r="48" ht="19.5" customHeight="1" s="79">
      <c r="B48" s="85" t="inlineStr">
        <is>
          <t>DESENHO:</t>
        </is>
      </c>
      <c r="E48" s="90" t="n"/>
      <c r="F48" s="87" t="n"/>
      <c r="G48" s="87" t="n"/>
    </row>
    <row r="49" ht="19.5" customHeight="1" s="79">
      <c r="B49" s="85" t="inlineStr">
        <is>
          <t>NOTA SAP:</t>
        </is>
      </c>
      <c r="E49" s="90" t="n"/>
      <c r="F49" s="87" t="n"/>
      <c r="G49" s="87" t="n"/>
    </row>
    <row r="50" ht="6" customHeight="1" s="79">
      <c r="B50" s="112" t="inlineStr">
        <is>
          <t>ITEM</t>
        </is>
      </c>
      <c r="C50" s="112" t="inlineStr">
        <is>
          <t>QTD.</t>
        </is>
      </c>
      <c r="D50" s="113" t="inlineStr">
        <is>
          <t>DESCRIÇÃO</t>
        </is>
      </c>
      <c r="E50" s="87" t="n"/>
      <c r="F50" s="112" t="inlineStr">
        <is>
          <t>OBS.</t>
        </is>
      </c>
      <c r="G50" s="112" t="inlineStr">
        <is>
          <t>MATERIAL</t>
        </is>
      </c>
    </row>
    <row r="51" ht="21.75" customHeight="1" s="79">
      <c r="B51" s="114" t="n"/>
      <c r="C51" s="114" t="n"/>
      <c r="D51" s="86" t="n"/>
      <c r="E51" s="87" t="n"/>
      <c r="F51" s="115" t="n"/>
      <c r="G51" s="115" t="n"/>
    </row>
    <row r="52" ht="15.75" customHeight="1" s="79">
      <c r="B52" s="114" t="n"/>
      <c r="C52" s="114" t="n"/>
      <c r="D52" s="86" t="n"/>
      <c r="E52" s="87" t="n"/>
      <c r="F52" s="115" t="n"/>
      <c r="G52" s="115" t="n"/>
    </row>
    <row r="53" ht="15.75" customHeight="1" s="79">
      <c r="B53" s="114" t="n"/>
      <c r="C53" s="114" t="n"/>
      <c r="D53" s="86" t="n"/>
      <c r="E53" s="87" t="n"/>
      <c r="F53" s="115" t="n"/>
      <c r="G53" s="115" t="n"/>
    </row>
    <row r="54" ht="18" customHeight="1" s="79">
      <c r="B54" s="114" t="n"/>
      <c r="C54" s="114" t="n"/>
      <c r="D54" s="86" t="n"/>
      <c r="E54" s="87" t="n"/>
      <c r="F54" s="115" t="n"/>
      <c r="G54" s="115" t="n"/>
    </row>
    <row r="55" ht="15.75" customHeight="1" s="79">
      <c r="B55" s="114" t="n"/>
      <c r="C55" s="114" t="n"/>
      <c r="D55" s="86" t="n"/>
      <c r="E55" s="87" t="n"/>
      <c r="F55" s="115" t="n"/>
      <c r="G55" s="115" t="n"/>
    </row>
    <row r="56" ht="15.75" customHeight="1" s="79">
      <c r="B56" s="114" t="n"/>
      <c r="C56" s="114" t="n"/>
      <c r="D56" s="86" t="n"/>
      <c r="E56" s="87" t="n"/>
      <c r="F56" s="115" t="n"/>
      <c r="G56" s="115" t="n"/>
    </row>
    <row r="57" ht="15.75" customHeight="1" s="79">
      <c r="B57" s="114" t="n"/>
      <c r="C57" s="114" t="n"/>
      <c r="D57" s="86" t="n"/>
      <c r="E57" s="87" t="n"/>
      <c r="F57" s="115" t="n"/>
      <c r="G57" s="115" t="n"/>
    </row>
    <row r="58" ht="15.75" customHeight="1" s="79">
      <c r="B58" s="114" t="n"/>
      <c r="C58" s="114" t="n"/>
      <c r="D58" s="86" t="n"/>
      <c r="E58" s="87" t="n"/>
      <c r="F58" s="115" t="n"/>
      <c r="G58" s="115" t="n"/>
    </row>
    <row r="59" ht="15.75" customHeight="1" s="79">
      <c r="B59" s="114" t="n"/>
      <c r="C59" s="114" t="n"/>
      <c r="D59" s="86" t="n"/>
      <c r="E59" s="87" t="n"/>
      <c r="F59" s="115" t="n"/>
      <c r="G59" s="115" t="n"/>
    </row>
    <row r="60" ht="15.75" customHeight="1" s="79">
      <c r="B60" s="114" t="n"/>
      <c r="C60" s="114" t="n"/>
      <c r="D60" s="86" t="n"/>
      <c r="E60" s="87" t="n"/>
      <c r="F60" s="115" t="n"/>
      <c r="G60" s="115" t="n"/>
    </row>
    <row r="61" ht="15.75" customHeight="1" s="79">
      <c r="B61" s="116" t="inlineStr">
        <is>
          <t>PESO TOTAL (TOTAL WEIGHT) =</t>
        </is>
      </c>
      <c r="G61" s="117" t="n"/>
    </row>
    <row r="62" ht="15.75" customHeight="1" s="79"/>
    <row r="63" ht="15.75" customHeight="1" s="79">
      <c r="A63" s="118" t="inlineStr">
        <is>
          <t>VALE</t>
        </is>
      </c>
      <c r="D63" s="119" t="inlineStr">
        <is>
          <t>EVIDÊNCIAS FOTOGRÁFICAS</t>
        </is>
      </c>
    </row>
    <row r="64" ht="15.75" customHeight="1" s="79">
      <c r="B64" s="120" t="inlineStr">
        <is>
          <t>💡 Dê duplo clique em cada área cinza para inserir foto automaticamente (requer macro habilitada)</t>
        </is>
      </c>
    </row>
    <row r="65" ht="21.75" customHeight="1" s="79"/>
    <row r="66" ht="6" customHeight="1" s="79">
      <c r="B66" s="121" t="inlineStr">
        <is>
          <t>📷 FOTO 1</t>
        </is>
      </c>
      <c r="C66" s="87" t="n"/>
      <c r="D66" s="87" t="n"/>
      <c r="E66" s="121" t="inlineStr">
        <is>
          <t>📷 FOTO 2</t>
        </is>
      </c>
      <c r="F66" s="87" t="n"/>
      <c r="G66" s="87" t="n"/>
    </row>
    <row r="67" ht="25.5" customHeight="1" s="79">
      <c r="B67" s="122" t="n"/>
      <c r="C67" s="87" t="n"/>
      <c r="D67" s="87" t="n"/>
      <c r="E67" s="122" t="n"/>
      <c r="F67" s="87" t="n"/>
      <c r="G67" s="87" t="n"/>
    </row>
    <row r="68" ht="15.75" customHeight="1" s="79">
      <c r="B68" s="122" t="n"/>
      <c r="C68" s="87" t="n"/>
      <c r="D68" s="87" t="n"/>
      <c r="E68" s="122" t="n"/>
      <c r="F68" s="87" t="n"/>
      <c r="G68" s="87" t="n"/>
    </row>
    <row r="69" ht="3.75" customHeight="1" s="79">
      <c r="B69" s="122" t="n"/>
      <c r="C69" s="87" t="n"/>
      <c r="D69" s="87" t="n"/>
      <c r="E69" s="122" t="n"/>
      <c r="F69" s="87" t="n"/>
      <c r="G69" s="87" t="n"/>
    </row>
    <row r="70" ht="18" customHeight="1" s="79">
      <c r="B70" s="123" t="inlineStr">
        <is>
          <t>[ Duplo clique para inserir foto ]</t>
        </is>
      </c>
      <c r="C70" s="87" t="n"/>
      <c r="D70" s="87" t="n"/>
      <c r="E70" s="123" t="inlineStr">
        <is>
          <t>[ Duplo clique para inserir foto ]</t>
        </is>
      </c>
      <c r="F70" s="87" t="n"/>
      <c r="G70" s="87" t="n"/>
    </row>
    <row r="71" ht="18" customHeight="1" s="79">
      <c r="B71" s="122" t="n"/>
      <c r="C71" s="87" t="n"/>
      <c r="D71" s="87" t="n"/>
      <c r="E71" s="122" t="n"/>
      <c r="F71" s="87" t="n"/>
      <c r="G71" s="87" t="n"/>
    </row>
    <row r="72" ht="18" customHeight="1" s="79">
      <c r="B72" s="122" t="n"/>
      <c r="C72" s="87" t="n"/>
      <c r="D72" s="87" t="n"/>
      <c r="E72" s="122" t="n"/>
      <c r="F72" s="87" t="n"/>
      <c r="G72" s="87" t="n"/>
    </row>
    <row r="73" ht="18" customHeight="1" s="79">
      <c r="B73" s="122" t="n"/>
      <c r="C73" s="87" t="n"/>
      <c r="D73" s="87" t="n"/>
      <c r="E73" s="122" t="n"/>
      <c r="F73" s="87" t="n"/>
      <c r="G73" s="87" t="n"/>
    </row>
    <row r="74" ht="18" customHeight="1" s="79">
      <c r="B74" s="122" t="n"/>
      <c r="C74" s="87" t="n"/>
      <c r="D74" s="87" t="n"/>
      <c r="E74" s="122" t="n"/>
      <c r="F74" s="87" t="n"/>
      <c r="G74" s="87" t="n"/>
    </row>
    <row r="75" ht="18" customHeight="1" s="79">
      <c r="B75" s="124" t="inlineStr">
        <is>
          <t>Legenda:</t>
        </is>
      </c>
      <c r="C75" s="87" t="n"/>
      <c r="D75" s="87" t="n"/>
      <c r="E75" s="124" t="inlineStr">
        <is>
          <t>Legenda:</t>
        </is>
      </c>
      <c r="F75" s="87" t="n"/>
      <c r="G75" s="87" t="n"/>
    </row>
    <row r="76" ht="18" customHeight="1" s="79"/>
    <row r="77" ht="18" customHeight="1" s="79">
      <c r="B77" s="121" t="inlineStr">
        <is>
          <t>📷 FOTO 3</t>
        </is>
      </c>
      <c r="C77" s="87" t="n"/>
      <c r="D77" s="87" t="n"/>
      <c r="E77" s="121" t="inlineStr">
        <is>
          <t>📷 FOTO 4</t>
        </is>
      </c>
      <c r="F77" s="87" t="n"/>
      <c r="G77" s="87" t="n"/>
    </row>
    <row r="78" ht="18" customHeight="1" s="79">
      <c r="B78" s="122" t="n"/>
      <c r="C78" s="87" t="n"/>
      <c r="D78" s="87" t="n"/>
      <c r="E78" s="122" t="n"/>
      <c r="F78" s="87" t="n"/>
      <c r="G78" s="87" t="n"/>
    </row>
    <row r="79" ht="18" customHeight="1" s="79">
      <c r="B79" s="122" t="n"/>
      <c r="C79" s="87" t="n"/>
      <c r="D79" s="87" t="n"/>
      <c r="E79" s="122" t="n"/>
      <c r="F79" s="87" t="n"/>
      <c r="G79" s="87" t="n"/>
    </row>
    <row r="80" ht="6" customHeight="1" s="79">
      <c r="B80" s="122" t="n"/>
      <c r="C80" s="87" t="n"/>
      <c r="D80" s="87" t="n"/>
      <c r="E80" s="122" t="n"/>
      <c r="F80" s="87" t="n"/>
      <c r="G80" s="87" t="n"/>
    </row>
    <row r="81" ht="18" customHeight="1" s="79">
      <c r="B81" s="123" t="inlineStr">
        <is>
          <t>[ Duplo clique para inserir foto ]</t>
        </is>
      </c>
      <c r="C81" s="87" t="n"/>
      <c r="D81" s="87" t="n"/>
      <c r="E81" s="123" t="inlineStr">
        <is>
          <t>[ Duplo clique para inserir foto ]</t>
        </is>
      </c>
      <c r="F81" s="87" t="n"/>
      <c r="G81" s="87" t="n"/>
    </row>
    <row r="82" ht="18" customHeight="1" s="79">
      <c r="B82" s="122" t="n"/>
      <c r="C82" s="87" t="n"/>
      <c r="D82" s="87" t="n"/>
      <c r="E82" s="122" t="n"/>
      <c r="F82" s="87" t="n"/>
      <c r="G82" s="87" t="n"/>
    </row>
    <row r="83" ht="18" customHeight="1" s="79">
      <c r="B83" s="122" t="n"/>
      <c r="C83" s="87" t="n"/>
      <c r="D83" s="87" t="n"/>
      <c r="E83" s="122" t="n"/>
      <c r="F83" s="87" t="n"/>
      <c r="G83" s="87" t="n"/>
    </row>
    <row r="84" ht="18" customHeight="1" s="79">
      <c r="B84" s="122" t="n"/>
      <c r="C84" s="87" t="n"/>
      <c r="D84" s="87" t="n"/>
      <c r="E84" s="122" t="n"/>
      <c r="F84" s="87" t="n"/>
      <c r="G84" s="87" t="n"/>
    </row>
    <row r="85" ht="18" customHeight="1" s="79">
      <c r="B85" s="122" t="n"/>
      <c r="C85" s="87" t="n"/>
      <c r="D85" s="87" t="n"/>
      <c r="E85" s="122" t="n"/>
      <c r="F85" s="87" t="n"/>
      <c r="G85" s="87" t="n"/>
    </row>
    <row r="86" ht="18" customHeight="1" s="79">
      <c r="B86" s="124" t="inlineStr">
        <is>
          <t>Legenda:</t>
        </is>
      </c>
      <c r="C86" s="87" t="n"/>
      <c r="D86" s="87" t="n"/>
      <c r="E86" s="124" t="inlineStr">
        <is>
          <t>Legenda:</t>
        </is>
      </c>
      <c r="F86" s="87" t="n"/>
      <c r="G86" s="87" t="n"/>
    </row>
    <row r="87" ht="18" customHeight="1" s="79"/>
    <row r="88" ht="18" customHeight="1" s="79"/>
    <row r="89" ht="18" customHeight="1" s="79">
      <c r="A89" s="125" t="inlineStr">
        <is>
          <t>Integridade Estrutural — Vale S.A.</t>
        </is>
      </c>
      <c r="E89" s="126" t="inlineStr">
        <is>
          <t>PRO-024969, Rev. 05 — Serra Sul S11D — Pág. 2</t>
        </is>
      </c>
    </row>
    <row r="90" ht="18" customHeight="1" s="79"/>
    <row r="91" ht="6" customHeight="1" s="79"/>
    <row r="92" ht="6" customHeight="1" s="79"/>
    <row r="93" ht="21.75" customHeight="1" s="79"/>
  </sheetData>
  <mergeCells count="119">
    <mergeCell ref="D60:E60"/>
    <mergeCell ref="F16:G16"/>
    <mergeCell ref="F25:G25"/>
    <mergeCell ref="B8:G8"/>
    <mergeCell ref="B53:D53"/>
    <mergeCell ref="E89:G89"/>
    <mergeCell ref="F15:G15"/>
    <mergeCell ref="A1:C2"/>
    <mergeCell ref="D2:H2"/>
    <mergeCell ref="B84:D84"/>
    <mergeCell ref="B14:C14"/>
    <mergeCell ref="D61:E61"/>
    <mergeCell ref="B68:G68"/>
    <mergeCell ref="B6:D6"/>
    <mergeCell ref="E81:G81"/>
    <mergeCell ref="B12:E12"/>
    <mergeCell ref="D62:E62"/>
    <mergeCell ref="D56:E56"/>
    <mergeCell ref="B72:D72"/>
    <mergeCell ref="B24:C24"/>
    <mergeCell ref="D24:E24"/>
    <mergeCell ref="D64:E64"/>
    <mergeCell ref="B31:G31"/>
    <mergeCell ref="E83:G83"/>
    <mergeCell ref="B70:D70"/>
    <mergeCell ref="B16:C16"/>
    <mergeCell ref="D10:E10"/>
    <mergeCell ref="B25:C25"/>
    <mergeCell ref="F10:G10"/>
    <mergeCell ref="D1:H1"/>
    <mergeCell ref="E84:G84"/>
    <mergeCell ref="B73:D73"/>
    <mergeCell ref="E78:G78"/>
    <mergeCell ref="B88:D88"/>
    <mergeCell ref="B39:G41"/>
    <mergeCell ref="B82:D82"/>
    <mergeCell ref="B13:G13"/>
    <mergeCell ref="B27:C27"/>
    <mergeCell ref="E6:G6"/>
    <mergeCell ref="E77:G77"/>
    <mergeCell ref="E93:H93"/>
    <mergeCell ref="E86:G86"/>
    <mergeCell ref="B32:G35"/>
    <mergeCell ref="B74:D74"/>
    <mergeCell ref="E70:G70"/>
    <mergeCell ref="B83:D83"/>
    <mergeCell ref="F17:G17"/>
    <mergeCell ref="B51:G51"/>
    <mergeCell ref="E72:G72"/>
    <mergeCell ref="B5:D5"/>
    <mergeCell ref="B76:D76"/>
    <mergeCell ref="B85:D85"/>
    <mergeCell ref="A67:C67"/>
    <mergeCell ref="B11:E11"/>
    <mergeCell ref="F28:G28"/>
    <mergeCell ref="B75:D75"/>
    <mergeCell ref="D9:E9"/>
    <mergeCell ref="F9:G9"/>
    <mergeCell ref="E71:G71"/>
    <mergeCell ref="B15:C15"/>
    <mergeCell ref="D15:E15"/>
    <mergeCell ref="D67:H67"/>
    <mergeCell ref="E79:G79"/>
    <mergeCell ref="E73:G73"/>
    <mergeCell ref="E88:G88"/>
    <mergeCell ref="E82:G82"/>
    <mergeCell ref="B43:G45"/>
    <mergeCell ref="D63:E63"/>
    <mergeCell ref="E74:G74"/>
    <mergeCell ref="B78:D78"/>
    <mergeCell ref="B87:D87"/>
    <mergeCell ref="B29:G29"/>
    <mergeCell ref="A93:D93"/>
    <mergeCell ref="B38:G38"/>
    <mergeCell ref="D27:E27"/>
    <mergeCell ref="B17:C17"/>
    <mergeCell ref="D17:E17"/>
    <mergeCell ref="B28:C28"/>
    <mergeCell ref="D28:E28"/>
    <mergeCell ref="B9:C9"/>
    <mergeCell ref="B7:G7"/>
    <mergeCell ref="D25:E25"/>
    <mergeCell ref="B65:F65"/>
    <mergeCell ref="D55:E55"/>
    <mergeCell ref="D14:E14"/>
    <mergeCell ref="F14:G14"/>
    <mergeCell ref="D54:E54"/>
    <mergeCell ref="B77:D77"/>
    <mergeCell ref="B86:D86"/>
    <mergeCell ref="E87:G87"/>
    <mergeCell ref="F11:G11"/>
    <mergeCell ref="B42:G42"/>
    <mergeCell ref="E90:G90"/>
    <mergeCell ref="B19:G19"/>
    <mergeCell ref="F12:G12"/>
    <mergeCell ref="F24:G24"/>
    <mergeCell ref="B37:G37"/>
    <mergeCell ref="D57:E57"/>
    <mergeCell ref="E76:G76"/>
    <mergeCell ref="E85:G85"/>
    <mergeCell ref="B89:D89"/>
    <mergeCell ref="B20:G20"/>
    <mergeCell ref="D16:E16"/>
    <mergeCell ref="B79:D79"/>
    <mergeCell ref="E75:G75"/>
    <mergeCell ref="E53:G53"/>
    <mergeCell ref="B10:C10"/>
    <mergeCell ref="B4:G4"/>
    <mergeCell ref="D58:E58"/>
    <mergeCell ref="F27:G27"/>
    <mergeCell ref="B81:D81"/>
    <mergeCell ref="B90:D90"/>
    <mergeCell ref="B47:G49"/>
    <mergeCell ref="B46:G46"/>
    <mergeCell ref="E52:G52"/>
    <mergeCell ref="E5:G5"/>
    <mergeCell ref="B71:D71"/>
    <mergeCell ref="B52:D52"/>
    <mergeCell ref="D59:E59"/>
  </mergeCells>
  <conditionalFormatting sqref="D25:E25">
    <cfRule type="expression" rank="0" priority="2" equalAverage="0" aboveAverage="0" dxfId="0" text="" percent="0" bottom="0">
      <formula>D25="MUITO ALTO"</formula>
    </cfRule>
    <cfRule type="expression" rank="0" priority="3" equalAverage="0" aboveAverage="0" dxfId="1" text="" percent="0" bottom="0">
      <formula>D25="ALTO"</formula>
    </cfRule>
    <cfRule type="expression" rank="0" priority="4" equalAverage="0" aboveAverage="0" dxfId="2" text="" percent="0" bottom="0">
      <formula>D25="MÉDIO"</formula>
    </cfRule>
    <cfRule type="expression" rank="0" priority="5" equalAverage="0" aboveAverage="0" dxfId="3" text="" percent="0" bottom="0">
      <formula>D25="BAIXO"</formula>
    </cfRule>
  </conditionalFormatting>
  <dataValidations count="4">
    <dataValidation sqref="C22" showDropDown="0" showInputMessage="0" showErrorMessage="0" allowBlank="0" type="list" errorStyle="stop" operator="between">
      <formula1>Aux!$A$1:$A$5</formula1>
      <formula2>0</formula2>
    </dataValidation>
    <dataValidation sqref="D22" showDropDown="0" showInputMessage="0" showErrorMessage="0" allowBlank="0" type="list" errorStyle="stop" operator="between">
      <formula1>Aux!$B$1:$B$3</formula1>
      <formula2>0</formula2>
    </dataValidation>
    <dataValidation sqref="E22" showDropDown="0" showInputMessage="0" showErrorMessage="0" allowBlank="0" type="list" errorStyle="stop" operator="between">
      <formula1>Aux!$C$1:$C$3</formula1>
      <formula2>0</formula2>
    </dataValidation>
    <dataValidation sqref="F22" showDropDown="0" showInputMessage="0" showErrorMessage="0" allowBlank="0" type="list" errorStyle="stop" operator="between">
      <formula1>Aux!$D$1:$D$3</formula1>
      <formula2>0</formula2>
    </dataValidation>
  </dataValidations>
  <printOptions horizontalCentered="0" verticalCentered="0" headings="0" gridLines="0" gridLinesSet="1"/>
  <pageMargins left="0.4" right="0.4" top="0.3" bottom="0.3" header="0.511811023622047" footer="0.511811023622047"/>
  <pageSetup orientation="portrait" paperSize="9" scale="100" fitToHeight="3" fitToWidth="1" pageOrder="downThenOver" blackAndWhite="0" draft="0" horizontalDpi="300" verticalDpi="300" copies="1"/>
  <rowBreaks count="1" manualBreakCount="1">
    <brk id="66" min="0" max="16383" man="1"/>
  </row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9">
      <c r="A1" s="127" t="n">
        <v>1</v>
      </c>
      <c r="B1" s="128" t="n">
        <v>1</v>
      </c>
      <c r="C1" s="128" t="n">
        <v>3</v>
      </c>
      <c r="D1" s="128" t="n">
        <v>5</v>
      </c>
    </row>
    <row r="2" ht="15" customHeight="1" s="79">
      <c r="A2" s="127" t="n">
        <v>2</v>
      </c>
      <c r="B2" s="128" t="n">
        <v>1.5</v>
      </c>
      <c r="C2" s="128" t="n">
        <v>1</v>
      </c>
      <c r="D2" s="128" t="n">
        <v>3</v>
      </c>
    </row>
    <row r="3" ht="15" customHeight="1" s="79">
      <c r="A3" s="127" t="n">
        <v>3</v>
      </c>
      <c r="B3" s="128" t="n">
        <v>2.2</v>
      </c>
      <c r="C3" s="128" t="n">
        <v>0.5</v>
      </c>
      <c r="D3" s="128" t="n">
        <v>1</v>
      </c>
    </row>
    <row r="4" ht="15" customHeight="1" s="79">
      <c r="A4" s="127" t="n">
        <v>4</v>
      </c>
    </row>
    <row r="5" ht="15" customHeight="1" s="79">
      <c r="A5" s="127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I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8" min="1" max="1"/>
    <col width="8" customWidth="1" style="78" min="2" max="2"/>
    <col width="12" customWidth="1" style="78" min="3" max="3"/>
    <col width="10" customWidth="1" style="78" min="4" max="4"/>
    <col width="12" customWidth="1" style="78" min="5" max="9"/>
    <col width="3" customWidth="1" style="78" min="10" max="10"/>
  </cols>
  <sheetData>
    <row r="1" ht="27.75" customHeight="1" s="79">
      <c r="B1" s="129" t="inlineStr">
        <is>
          <t>PRO-024969, Rev. 05 — INSPEÇÃO DE INTEGRIDADE ESTRUTURAL PA</t>
        </is>
      </c>
    </row>
    <row r="2" ht="18" customHeight="1" s="79">
      <c r="B2" s="130" t="inlineStr">
        <is>
          <t>Tabelas de Referência para Classificação de Risco — Serra Sul S11D</t>
        </is>
      </c>
    </row>
    <row r="4" ht="19.5" customHeight="1" s="79">
      <c r="B4" s="131" t="inlineStr">
        <is>
          <t>TABELA 07: Pontuação por Classe de Degradação</t>
        </is>
      </c>
    </row>
    <row r="5" ht="19.5" customHeight="1" s="79">
      <c r="B5" s="132" t="inlineStr">
        <is>
          <t>Classe</t>
        </is>
      </c>
      <c r="C5" s="132" t="inlineStr">
        <is>
          <t>I.U.</t>
        </is>
      </c>
      <c r="D5" s="132" t="inlineStr">
        <is>
          <t>Pont.</t>
        </is>
      </c>
      <c r="E5" s="133" t="inlineStr">
        <is>
          <t>Descrição de Referência</t>
        </is>
      </c>
      <c r="F5" s="87" t="n"/>
      <c r="G5" s="87" t="n"/>
      <c r="H5" s="87" t="n"/>
      <c r="I5" s="87" t="n"/>
    </row>
    <row r="6" ht="31.5" customHeight="1" s="79">
      <c r="B6" s="134" t="inlineStr">
        <is>
          <t>CD 1</t>
        </is>
      </c>
      <c r="C6" s="135" t="inlineStr">
        <is>
          <t>I.U. ≤ 1,0</t>
        </is>
      </c>
      <c r="D6" s="136" t="n">
        <v>1</v>
      </c>
      <c r="E6" s="137" t="inlineStr">
        <is>
          <t>Proteção em condição de funcionamento parcial. Componente sem degradação.</t>
        </is>
      </c>
      <c r="F6" s="87" t="n"/>
      <c r="G6" s="87" t="n"/>
      <c r="H6" s="87" t="n"/>
      <c r="I6" s="87" t="n"/>
    </row>
    <row r="7" ht="31.5" customHeight="1" s="79">
      <c r="B7" s="134" t="inlineStr">
        <is>
          <t>CD 2</t>
        </is>
      </c>
      <c r="C7" s="135" t="inlineStr">
        <is>
          <t>I.U. ≤ 1,0</t>
        </is>
      </c>
      <c r="D7" s="136" t="n">
        <v>2</v>
      </c>
      <c r="E7" s="137" t="inlineStr">
        <is>
          <t>Componente sem degradação ou com degradação incipiente, incapaz de causar redução significativa na resistência estrutural.</t>
        </is>
      </c>
      <c r="F7" s="87" t="n"/>
      <c r="G7" s="87" t="n"/>
      <c r="H7" s="87" t="n"/>
      <c r="I7" s="87" t="n"/>
    </row>
    <row r="8" ht="31.5" customHeight="1" s="79">
      <c r="B8" s="134" t="inlineStr">
        <is>
          <t>CD 3</t>
        </is>
      </c>
      <c r="C8" s="135" t="inlineStr">
        <is>
          <t>1,0 &lt; I.U. ≤ 1,1</t>
        </is>
      </c>
      <c r="D8" s="136" t="n">
        <v>3</v>
      </c>
      <c r="E8" s="137" t="inlineStr">
        <is>
          <t>Componente com degradação que causa redução mensurável da capacidade estrutural, exigindo ação de acompanhamento ou reparo.</t>
        </is>
      </c>
      <c r="F8" s="87" t="n"/>
      <c r="G8" s="87" t="n"/>
      <c r="H8" s="87" t="n"/>
      <c r="I8" s="87" t="n"/>
    </row>
    <row r="9" ht="31.5" customHeight="1" s="79">
      <c r="B9" s="134" t="inlineStr">
        <is>
          <t>CD 4</t>
        </is>
      </c>
      <c r="C9" s="135" t="inlineStr">
        <is>
          <t>1,1 &lt; I.U. ≤ 1,2</t>
        </is>
      </c>
      <c r="D9" s="136" t="n">
        <v>4</v>
      </c>
      <c r="E9" s="137" t="inlineStr">
        <is>
          <t>Componente com degradação que causa redução significativa da capacidade estrutural.</t>
        </is>
      </c>
      <c r="F9" s="87" t="n"/>
      <c r="G9" s="87" t="n"/>
      <c r="H9" s="87" t="n"/>
      <c r="I9" s="87" t="n"/>
    </row>
    <row r="10" ht="31.5" customHeight="1" s="79">
      <c r="B10" s="134" t="inlineStr">
        <is>
          <t>CD 5</t>
        </is>
      </c>
      <c r="C10" s="135" t="inlineStr">
        <is>
          <t>1,2 &lt; I.U.</t>
        </is>
      </c>
      <c r="D10" s="136" t="n">
        <v>5</v>
      </c>
      <c r="E10" s="137" t="inlineStr">
        <is>
          <t>Componente com degradação que causa redução severa da capacidade estrutural.</t>
        </is>
      </c>
      <c r="F10" s="87" t="n"/>
      <c r="G10" s="87" t="n"/>
      <c r="H10" s="87" t="n"/>
      <c r="I10" s="87" t="n"/>
    </row>
    <row r="12" ht="19.5" customHeight="1" s="79">
      <c r="B12" s="131" t="inlineStr">
        <is>
          <t>TABELA 08: Pontuação de Associação de Fatores</t>
        </is>
      </c>
    </row>
    <row r="13" ht="19.5" customHeight="1" s="79">
      <c r="B13" s="138" t="inlineStr">
        <is>
          <t>Classe AF</t>
        </is>
      </c>
      <c r="C13" s="138" t="inlineStr">
        <is>
          <t>Pontuação</t>
        </is>
      </c>
      <c r="D13" s="139" t="inlineStr">
        <is>
          <t>Descrição de Referência</t>
        </is>
      </c>
      <c r="E13" s="87" t="n"/>
      <c r="F13" s="87" t="n"/>
      <c r="G13" s="87" t="n"/>
      <c r="H13" s="87" t="n"/>
      <c r="I13" s="87" t="n"/>
    </row>
    <row r="14" ht="27.75" customHeight="1" s="79">
      <c r="B14" s="134" t="inlineStr">
        <is>
          <t>AF1</t>
        </is>
      </c>
      <c r="C14" s="136" t="inlineStr">
        <is>
          <t>1,0</t>
        </is>
      </c>
      <c r="D14" s="137" t="inlineStr">
        <is>
          <t>O fator não apresenta influência significativa na evolução da degradação.</t>
        </is>
      </c>
      <c r="E14" s="87" t="n"/>
      <c r="F14" s="87" t="n"/>
      <c r="G14" s="87" t="n"/>
      <c r="H14" s="87" t="n"/>
      <c r="I14" s="87" t="n"/>
    </row>
    <row r="15" ht="27.75" customHeight="1" s="79">
      <c r="B15" s="134" t="inlineStr">
        <is>
          <t>AF2</t>
        </is>
      </c>
      <c r="C15" s="136" t="inlineStr">
        <is>
          <t>1,5</t>
        </is>
      </c>
      <c r="D15" s="137" t="inlineStr">
        <is>
          <t>O fator acelera significativamente a degradação.</t>
        </is>
      </c>
      <c r="E15" s="87" t="n"/>
      <c r="F15" s="87" t="n"/>
      <c r="G15" s="87" t="n"/>
      <c r="H15" s="87" t="n"/>
      <c r="I15" s="87" t="n"/>
    </row>
    <row r="16" ht="27.75" customHeight="1" s="79">
      <c r="B16" s="134" t="inlineStr">
        <is>
          <t>AF3</t>
        </is>
      </c>
      <c r="C16" s="136" t="inlineStr">
        <is>
          <t>2,2</t>
        </is>
      </c>
      <c r="D16" s="137" t="inlineStr">
        <is>
          <t>O fator acelera fortemente a degradação tornando imprecisa a previsão de sua evolução.</t>
        </is>
      </c>
      <c r="E16" s="87" t="n"/>
      <c r="F16" s="87" t="n"/>
      <c r="G16" s="87" t="n"/>
      <c r="H16" s="87" t="n"/>
      <c r="I16" s="87" t="n"/>
    </row>
    <row r="18" ht="19.5" customHeight="1" s="79">
      <c r="B18" s="131" t="inlineStr">
        <is>
          <t>TABELA 09: Função Estrutural</t>
        </is>
      </c>
      <c r="F18" s="131" t="inlineStr">
        <is>
          <t>TABELA 10: Severidade do Colapso</t>
        </is>
      </c>
    </row>
    <row r="19" ht="19.5" customHeight="1" s="79">
      <c r="B19" s="133" t="inlineStr">
        <is>
          <t>Função Estrutural</t>
        </is>
      </c>
      <c r="C19" s="87" t="n"/>
      <c r="D19" s="133" t="inlineStr">
        <is>
          <t>Pontuação</t>
        </is>
      </c>
      <c r="E19" s="87" t="n"/>
      <c r="F19" s="139" t="inlineStr">
        <is>
          <t>Severidade Colapso</t>
        </is>
      </c>
      <c r="G19" s="87" t="n"/>
      <c r="H19" s="139" t="inlineStr">
        <is>
          <t>Pontuação</t>
        </is>
      </c>
      <c r="I19" s="87" t="n"/>
    </row>
    <row r="20" ht="21.75" customHeight="1" s="79">
      <c r="B20" s="140" t="inlineStr">
        <is>
          <t>Primário</t>
        </is>
      </c>
      <c r="C20" s="87" t="n"/>
      <c r="D20" s="141" t="inlineStr">
        <is>
          <t>3,0</t>
        </is>
      </c>
      <c r="E20" s="87" t="n"/>
      <c r="F20" s="140" t="inlineStr">
        <is>
          <t>Alta</t>
        </is>
      </c>
      <c r="G20" s="87" t="n"/>
      <c r="H20" s="141" t="inlineStr">
        <is>
          <t>5,0</t>
        </is>
      </c>
      <c r="I20" s="87" t="n"/>
    </row>
    <row r="21" ht="21.75" customHeight="1" s="79">
      <c r="B21" s="140" t="inlineStr">
        <is>
          <t>Secundário</t>
        </is>
      </c>
      <c r="C21" s="87" t="n"/>
      <c r="D21" s="141" t="inlineStr">
        <is>
          <t>1,0</t>
        </is>
      </c>
      <c r="E21" s="87" t="n"/>
      <c r="F21" s="140" t="inlineStr">
        <is>
          <t>Média</t>
        </is>
      </c>
      <c r="G21" s="87" t="n"/>
      <c r="H21" s="141" t="inlineStr">
        <is>
          <t>3,0</t>
        </is>
      </c>
      <c r="I21" s="87" t="n"/>
    </row>
    <row r="22" ht="21.75" customHeight="1" s="79">
      <c r="B22" s="140" t="inlineStr">
        <is>
          <t>Não estrutural</t>
        </is>
      </c>
      <c r="C22" s="87" t="n"/>
      <c r="D22" s="141" t="inlineStr">
        <is>
          <t>0,5</t>
        </is>
      </c>
      <c r="E22" s="87" t="n"/>
      <c r="F22" s="140" t="inlineStr">
        <is>
          <t>Baixa</t>
        </is>
      </c>
      <c r="G22" s="87" t="n"/>
      <c r="H22" s="141" t="inlineStr">
        <is>
          <t>1,0</t>
        </is>
      </c>
      <c r="I22" s="87" t="n"/>
    </row>
    <row r="24" ht="19.5" customHeight="1" s="79">
      <c r="B24" s="131" t="inlineStr">
        <is>
          <t>TABELA 11: Definição de Risco e Prazo conforme Pontuação Geral</t>
        </is>
      </c>
    </row>
    <row r="25" ht="24" customHeight="1" s="79">
      <c r="B25" s="93" t="inlineStr">
        <is>
          <t>Pontuação Geral = CD × AF × FE × SC</t>
        </is>
      </c>
    </row>
    <row r="26" ht="19.5" customHeight="1" s="79">
      <c r="B26" s="133" t="inlineStr">
        <is>
          <t>Pontuação Geral</t>
        </is>
      </c>
      <c r="C26" s="87" t="n"/>
      <c r="D26" s="87" t="n"/>
      <c r="E26" s="133" t="inlineStr">
        <is>
          <t>Risco</t>
        </is>
      </c>
      <c r="F26" s="87" t="n"/>
      <c r="G26" s="87" t="n"/>
      <c r="H26" s="133" t="inlineStr">
        <is>
          <t>Prazo (meses)</t>
        </is>
      </c>
      <c r="I26" s="87" t="n"/>
    </row>
    <row r="27" ht="24" customHeight="1" s="79">
      <c r="B27" s="140" t="inlineStr">
        <is>
          <t>Maior ou igual a 75</t>
        </is>
      </c>
      <c r="C27" s="87" t="n"/>
      <c r="D27" s="87" t="n"/>
      <c r="E27" s="142" t="inlineStr">
        <is>
          <t>MUITO ALTO</t>
        </is>
      </c>
      <c r="F27" s="87" t="n"/>
      <c r="G27" s="87" t="n"/>
      <c r="H27" s="140" t="inlineStr">
        <is>
          <t>Imediato</t>
        </is>
      </c>
      <c r="I27" s="87" t="n"/>
    </row>
    <row r="28" ht="24" customHeight="1" s="79">
      <c r="B28" s="140" t="inlineStr">
        <is>
          <t>40 a 74</t>
        </is>
      </c>
      <c r="C28" s="87" t="n"/>
      <c r="D28" s="87" t="n"/>
      <c r="E28" s="143" t="inlineStr">
        <is>
          <t>ALTO</t>
        </is>
      </c>
      <c r="F28" s="87" t="n"/>
      <c r="G28" s="87" t="n"/>
      <c r="H28" s="140" t="inlineStr">
        <is>
          <t>Até 12</t>
        </is>
      </c>
      <c r="I28" s="87" t="n"/>
    </row>
    <row r="29" ht="24" customHeight="1" s="79">
      <c r="B29" s="140" t="inlineStr">
        <is>
          <t>15 a 39</t>
        </is>
      </c>
      <c r="C29" s="87" t="n"/>
      <c r="D29" s="87" t="n"/>
      <c r="E29" s="144" t="inlineStr">
        <is>
          <t>MÉDIO</t>
        </is>
      </c>
      <c r="F29" s="87" t="n"/>
      <c r="G29" s="87" t="n"/>
      <c r="H29" s="140" t="inlineStr">
        <is>
          <t>Até 36</t>
        </is>
      </c>
      <c r="I29" s="87" t="n"/>
    </row>
    <row r="30" ht="24" customHeight="1" s="79">
      <c r="B30" s="140" t="inlineStr">
        <is>
          <t>1 a 14</t>
        </is>
      </c>
      <c r="C30" s="87" t="n"/>
      <c r="D30" s="87" t="n"/>
      <c r="E30" s="145" t="inlineStr">
        <is>
          <t>BAIXO</t>
        </is>
      </c>
      <c r="F30" s="87" t="n"/>
      <c r="G30" s="87" t="n"/>
      <c r="H30" s="140" t="inlineStr">
        <is>
          <t>Até 48</t>
        </is>
      </c>
      <c r="I30" s="87" t="n"/>
    </row>
    <row r="31" ht="15.75" customHeight="1" s="79">
      <c r="B31" s="146" t="inlineStr">
        <is>
          <t>* Como exceção, a determinação de prazo para Proteção Anticorrosiva é definida a partir da Classe de Degradação, obtida nas Tabelas 12 e 13.</t>
        </is>
      </c>
    </row>
    <row r="33" ht="19.5" customHeight="1" s="79">
      <c r="B33" s="131" t="inlineStr">
        <is>
          <t>TABELA 12: Níveis de degradação do sistema de pintura (PAC)</t>
        </is>
      </c>
    </row>
    <row r="34" ht="21.75" customHeight="1" s="79">
      <c r="B34" s="138" t="inlineStr">
        <is>
          <t>Classif. ISO</t>
        </is>
      </c>
      <c r="C34" s="138" t="inlineStr">
        <is>
          <t>Área Degr. (%)</t>
        </is>
      </c>
      <c r="D34" s="138" t="inlineStr">
        <is>
          <t>CD</t>
        </is>
      </c>
      <c r="E34" s="138" t="inlineStr">
        <is>
          <t>C2 ou inferior</t>
        </is>
      </c>
      <c r="F34" s="138" t="inlineStr">
        <is>
          <t>C3</t>
        </is>
      </c>
      <c r="G34" s="138" t="inlineStr">
        <is>
          <t>C4</t>
        </is>
      </c>
      <c r="H34" s="138" t="inlineStr">
        <is>
          <t>C5</t>
        </is>
      </c>
      <c r="I34" s="138" t="inlineStr">
        <is>
          <t>CX</t>
        </is>
      </c>
    </row>
    <row r="35" ht="18" customHeight="1" s="79">
      <c r="B35" s="135" t="inlineStr">
        <is>
          <t>Ri 0</t>
        </is>
      </c>
      <c r="C35" s="135" t="inlineStr">
        <is>
          <t>0</t>
        </is>
      </c>
      <c r="D35" s="135" t="inlineStr">
        <is>
          <t>-</t>
        </is>
      </c>
      <c r="E35" s="135" t="inlineStr">
        <is>
          <t>-</t>
        </is>
      </c>
      <c r="F35" s="135" t="inlineStr">
        <is>
          <t>-</t>
        </is>
      </c>
      <c r="G35" s="135" t="inlineStr">
        <is>
          <t>-</t>
        </is>
      </c>
      <c r="H35" s="135" t="inlineStr">
        <is>
          <t>-</t>
        </is>
      </c>
      <c r="I35" s="135" t="inlineStr">
        <is>
          <t>-</t>
        </is>
      </c>
    </row>
    <row r="36" ht="18" customHeight="1" s="79">
      <c r="B36" s="135" t="inlineStr">
        <is>
          <t>Ri 1</t>
        </is>
      </c>
      <c r="C36" s="135" t="inlineStr">
        <is>
          <t>0,05</t>
        </is>
      </c>
      <c r="D36" s="135" t="inlineStr">
        <is>
          <t>1</t>
        </is>
      </c>
      <c r="E36" s="135" t="inlineStr">
        <is>
          <t>127</t>
        </is>
      </c>
      <c r="F36" s="135" t="inlineStr">
        <is>
          <t>102</t>
        </is>
      </c>
      <c r="G36" s="135" t="inlineStr">
        <is>
          <t>92</t>
        </is>
      </c>
      <c r="H36" s="135" t="inlineStr">
        <is>
          <t>42</t>
        </is>
      </c>
      <c r="I36" s="135" t="inlineStr">
        <is>
          <t>12</t>
        </is>
      </c>
    </row>
    <row r="37" ht="18" customHeight="1" s="79">
      <c r="B37" s="135" t="inlineStr">
        <is>
          <t>Ri 2</t>
        </is>
      </c>
      <c r="C37" s="135" t="inlineStr">
        <is>
          <t>0,5</t>
        </is>
      </c>
      <c r="D37" s="135" t="inlineStr">
        <is>
          <t>1</t>
        </is>
      </c>
      <c r="E37" s="135" t="inlineStr">
        <is>
          <t>127</t>
        </is>
      </c>
      <c r="F37" s="135" t="inlineStr">
        <is>
          <t>102</t>
        </is>
      </c>
      <c r="G37" s="135" t="inlineStr">
        <is>
          <t>92</t>
        </is>
      </c>
      <c r="H37" s="135" t="inlineStr">
        <is>
          <t>42</t>
        </is>
      </c>
      <c r="I37" s="135" t="inlineStr">
        <is>
          <t>12</t>
        </is>
      </c>
    </row>
    <row r="38" ht="18" customHeight="1" s="79">
      <c r="B38" s="147" t="inlineStr">
        <is>
          <t>Ri 3</t>
        </is>
      </c>
      <c r="C38" s="147" t="inlineStr">
        <is>
          <t>1</t>
        </is>
      </c>
      <c r="D38" s="147" t="inlineStr">
        <is>
          <t>2</t>
        </is>
      </c>
      <c r="E38" s="147" t="inlineStr">
        <is>
          <t>127</t>
        </is>
      </c>
      <c r="F38" s="147" t="inlineStr">
        <is>
          <t>102</t>
        </is>
      </c>
      <c r="G38" s="147" t="inlineStr">
        <is>
          <t>92</t>
        </is>
      </c>
      <c r="H38" s="147" t="inlineStr">
        <is>
          <t>42</t>
        </is>
      </c>
      <c r="I38" s="147" t="inlineStr">
        <is>
          <t>12</t>
        </is>
      </c>
    </row>
    <row r="39" ht="18" customHeight="1" s="79">
      <c r="B39" s="148" t="inlineStr">
        <is>
          <t>Ri 4</t>
        </is>
      </c>
      <c r="C39" s="148" t="inlineStr">
        <is>
          <t>8</t>
        </is>
      </c>
      <c r="D39" s="148" t="inlineStr">
        <is>
          <t>2</t>
        </is>
      </c>
      <c r="E39" s="148" t="inlineStr">
        <is>
          <t>101</t>
        </is>
      </c>
      <c r="F39" s="148" t="inlineStr">
        <is>
          <t>81</t>
        </is>
      </c>
      <c r="G39" s="148" t="inlineStr">
        <is>
          <t>72</t>
        </is>
      </c>
      <c r="H39" s="148" t="inlineStr">
        <is>
          <t>36</t>
        </is>
      </c>
      <c r="I39" s="148" t="inlineStr">
        <is>
          <t>9</t>
        </is>
      </c>
    </row>
    <row r="40" ht="18" customHeight="1" s="79">
      <c r="B40" s="149" t="inlineStr">
        <is>
          <t>Ri 5</t>
        </is>
      </c>
      <c r="C40" s="149" t="inlineStr">
        <is>
          <t>Acima de 40</t>
        </is>
      </c>
      <c r="D40" s="149" t="inlineStr">
        <is>
          <t>2</t>
        </is>
      </c>
      <c r="E40" s="149" t="inlineStr">
        <is>
          <t>52</t>
        </is>
      </c>
      <c r="F40" s="149" t="inlineStr">
        <is>
          <t>41</t>
        </is>
      </c>
      <c r="G40" s="149" t="inlineStr">
        <is>
          <t>36</t>
        </is>
      </c>
      <c r="H40" s="149" t="inlineStr">
        <is>
          <t>18</t>
        </is>
      </c>
      <c r="I40" s="149" t="inlineStr">
        <is>
          <t>3</t>
        </is>
      </c>
    </row>
    <row r="41" ht="15.75" customHeight="1" s="79">
      <c r="B41" s="150" t="inlineStr">
        <is>
          <t>* Abertura de laudos apenas para Ri 3, Ri 4 e Ri 5. Valores = Prazo máximo para tratamento (meses)</t>
        </is>
      </c>
    </row>
    <row r="44" ht="25.5" customHeight="1" s="79">
      <c r="B44" s="151" t="inlineStr">
        <is>
          <t>DASHBOARD UNIFICADO DE INTEGRIDADE ESTRUTURAL</t>
        </is>
      </c>
    </row>
    <row r="45" ht="24" customHeight="1" s="79">
      <c r="B45" s="152" t="inlineStr">
        <is>
          <t>Tabela de referência para preenchimento do campo sala (Padrão Recomendado)</t>
        </is>
      </c>
    </row>
    <row r="46" ht="19.5" customHeight="1" s="79">
      <c r="B46" s="153" t="inlineStr">
        <is>
          <t>QUANTITATIVO</t>
        </is>
      </c>
      <c r="C46" s="87" t="n"/>
      <c r="D46" s="87" t="n"/>
      <c r="E46" s="87" t="n"/>
      <c r="F46" s="154" t="n"/>
      <c r="G46" s="153" t="inlineStr">
        <is>
          <t>CÓDIGO</t>
        </is>
      </c>
      <c r="H46" s="87" t="n"/>
      <c r="I46" s="154" t="n"/>
    </row>
    <row r="47" ht="18" customHeight="1" s="79">
      <c r="B47" s="155" t="inlineStr">
        <is>
          <t>REC metálico (CD - kg)</t>
        </is>
      </c>
      <c r="C47" s="87" t="n"/>
      <c r="D47" s="87" t="n"/>
      <c r="E47" s="87" t="n"/>
      <c r="F47" s="154" t="n"/>
      <c r="G47" s="156" t="inlineStr">
        <is>
          <t>C2-9999</t>
        </is>
      </c>
      <c r="H47" s="87" t="n"/>
      <c r="I47" s="154" t="n"/>
    </row>
    <row r="48" ht="18" customHeight="1" s="79">
      <c r="B48" s="157" t="inlineStr">
        <is>
          <t>Tamanho trinca (CD - mm)</t>
        </is>
      </c>
      <c r="C48" s="87" t="n"/>
      <c r="D48" s="87" t="n"/>
      <c r="E48" s="87" t="n"/>
      <c r="F48" s="154" t="n"/>
      <c r="G48" s="158" t="inlineStr">
        <is>
          <t>T2-9999</t>
        </is>
      </c>
      <c r="H48" s="87" t="n"/>
      <c r="I48" s="154" t="n"/>
    </row>
    <row r="49" ht="18" customHeight="1" s="79">
      <c r="B49" s="155" t="inlineStr">
        <is>
          <t>Quantidade de solda (CD - mm)</t>
        </is>
      </c>
      <c r="C49" s="87" t="n"/>
      <c r="D49" s="87" t="n"/>
      <c r="E49" s="87" t="n"/>
      <c r="F49" s="154" t="n"/>
      <c r="G49" s="156" t="inlineStr">
        <is>
          <t>S2-9999</t>
        </is>
      </c>
      <c r="H49" s="87" t="n"/>
      <c r="I49" s="154" t="n"/>
    </row>
    <row r="50" ht="18" customHeight="1" s="79">
      <c r="B50" s="157" t="inlineStr">
        <is>
          <t>Quantidade de fixações (CD - quantidade)</t>
        </is>
      </c>
      <c r="C50" s="87" t="n"/>
      <c r="D50" s="87" t="n"/>
      <c r="E50" s="87" t="n"/>
      <c r="F50" s="154" t="n"/>
      <c r="G50" s="158" t="inlineStr">
        <is>
          <t>Q2-9999</t>
        </is>
      </c>
      <c r="H50" s="87" t="n"/>
      <c r="I50" s="154" t="n"/>
    </row>
    <row r="51" ht="18" customHeight="1" s="79">
      <c r="B51" s="155" t="inlineStr">
        <is>
          <t>Volume de concreto (CD - m³)</t>
        </is>
      </c>
      <c r="C51" s="87" t="n"/>
      <c r="D51" s="87" t="n"/>
      <c r="E51" s="87" t="n"/>
      <c r="F51" s="154" t="n"/>
      <c r="G51" s="156" t="inlineStr">
        <is>
          <t>V2-9999</t>
        </is>
      </c>
      <c r="H51" s="87" t="n"/>
      <c r="I51" s="154" t="n"/>
    </row>
    <row r="52" ht="18" customHeight="1" s="79">
      <c r="B52" s="157" t="inlineStr">
        <is>
          <t>Área de PAC (Ri - m²)</t>
        </is>
      </c>
      <c r="C52" s="87" t="n"/>
      <c r="D52" s="87" t="n"/>
      <c r="E52" s="87" t="n"/>
      <c r="F52" s="154" t="n"/>
      <c r="G52" s="158" t="inlineStr">
        <is>
          <t>R3-9999</t>
        </is>
      </c>
      <c r="H52" s="87" t="n"/>
      <c r="I52" s="154" t="n"/>
    </row>
    <row r="53" ht="15.75" customHeight="1" s="79">
      <c r="B53" s="159" t="inlineStr">
        <is>
          <t>Obs: Padronização utilizada no Porto de Tubarão e na Pelotização para criação de um Padrão Recomendado.</t>
        </is>
      </c>
    </row>
    <row r="55" ht="15.75" customHeight="1" s="79">
      <c r="B55" s="160" t="inlineStr">
        <is>
          <t>Benefícios:</t>
        </is>
      </c>
    </row>
    <row r="56" ht="13.5" customHeight="1" s="79">
      <c r="B56" s="161" t="inlineStr">
        <is>
          <t>• Unificação e facilidade na obtenção dos dados;</t>
        </is>
      </c>
    </row>
    <row r="57" ht="13.5" customHeight="1" s="79">
      <c r="B57" s="161" t="inlineStr">
        <is>
          <t>• Padronização e direcionamento para limites técnicos;</t>
        </is>
      </c>
    </row>
    <row r="58" ht="13.5" customHeight="1" s="79">
      <c r="B58" s="161" t="inlineStr">
        <is>
          <t>• Data de corte para obtenção dos dados (2º dia de cada mês), fechamento mensal;</t>
        </is>
      </c>
    </row>
    <row r="59" ht="13.5" customHeight="1" s="79">
      <c r="B59" s="161" t="inlineStr">
        <is>
          <t>• Identificação das variações e direcionamento das ações.</t>
        </is>
      </c>
    </row>
    <row r="61" ht="21.75" customHeight="1" s="79">
      <c r="B61" s="162" t="inlineStr">
        <is>
          <t>Integridade Estrutural — Vale S.A. — Serra Sul S11D — Carajás</t>
        </is>
      </c>
    </row>
  </sheetData>
  <mergeCells count="75">
    <mergeCell ref="D20:E20"/>
    <mergeCell ref="E28:G28"/>
    <mergeCell ref="H20:I20"/>
    <mergeCell ref="B47:F47"/>
    <mergeCell ref="D13:I13"/>
    <mergeCell ref="B25:I25"/>
    <mergeCell ref="D19:E19"/>
    <mergeCell ref="H29:I29"/>
    <mergeCell ref="F19:G19"/>
    <mergeCell ref="B22:C22"/>
    <mergeCell ref="G49:I49"/>
    <mergeCell ref="B46:F46"/>
    <mergeCell ref="E5:I5"/>
    <mergeCell ref="D22:E22"/>
    <mergeCell ref="B31:I31"/>
    <mergeCell ref="E30:G30"/>
    <mergeCell ref="E8:I8"/>
    <mergeCell ref="B29:D29"/>
    <mergeCell ref="D16:I16"/>
    <mergeCell ref="D21:E21"/>
    <mergeCell ref="B12:I12"/>
    <mergeCell ref="F21:G21"/>
    <mergeCell ref="B28:D28"/>
    <mergeCell ref="B21:C21"/>
    <mergeCell ref="H21:I21"/>
    <mergeCell ref="B52:F52"/>
    <mergeCell ref="B56:I56"/>
    <mergeCell ref="B58:I58"/>
    <mergeCell ref="B48:F48"/>
    <mergeCell ref="E27:G27"/>
    <mergeCell ref="B2:I2"/>
    <mergeCell ref="E10:I10"/>
    <mergeCell ref="F20:G20"/>
    <mergeCell ref="E26:G26"/>
    <mergeCell ref="B30:D30"/>
    <mergeCell ref="B41:I41"/>
    <mergeCell ref="B61:I61"/>
    <mergeCell ref="B1:I1"/>
    <mergeCell ref="G51:I51"/>
    <mergeCell ref="B57:I57"/>
    <mergeCell ref="E9:I9"/>
    <mergeCell ref="D15:I15"/>
    <mergeCell ref="G47:I47"/>
    <mergeCell ref="B18:E18"/>
    <mergeCell ref="B44:I44"/>
    <mergeCell ref="G50:I50"/>
    <mergeCell ref="B53:I53"/>
    <mergeCell ref="E6:I6"/>
    <mergeCell ref="D14:I14"/>
    <mergeCell ref="B19:C19"/>
    <mergeCell ref="G46:I46"/>
    <mergeCell ref="B26:D26"/>
    <mergeCell ref="B4:I4"/>
    <mergeCell ref="H19:I19"/>
    <mergeCell ref="F22:G22"/>
    <mergeCell ref="H22:I22"/>
    <mergeCell ref="H28:I28"/>
    <mergeCell ref="G52:I52"/>
    <mergeCell ref="H27:I27"/>
    <mergeCell ref="B49:F49"/>
    <mergeCell ref="F18:I18"/>
    <mergeCell ref="E7:I7"/>
    <mergeCell ref="B33:I33"/>
    <mergeCell ref="B55:I55"/>
    <mergeCell ref="B24:I24"/>
    <mergeCell ref="B20:C20"/>
    <mergeCell ref="B51:F51"/>
    <mergeCell ref="B59:I59"/>
    <mergeCell ref="B27:D27"/>
    <mergeCell ref="G48:I48"/>
    <mergeCell ref="B45:I45"/>
    <mergeCell ref="B50:F50"/>
    <mergeCell ref="E29:G29"/>
    <mergeCell ref="H30:I30"/>
    <mergeCell ref="H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2026-03-21T11:12:24Z</dcterms:created>
  <dcterms:modified xmlns:dcterms="http://purl.org/dc/terms/" xmlns:xsi="http://www.w3.org/2001/XMLSchema-instance" xsi:type="dcterms:W3CDTF">2026-03-28T12:06:48Z</dcterms:modified>
  <cp:revision>0</cp:revision>
</cp:coreProperties>
</file>